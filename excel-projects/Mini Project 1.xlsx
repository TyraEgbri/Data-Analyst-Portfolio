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C0F1EC83123DD1/Documents/"/>
    </mc:Choice>
  </mc:AlternateContent>
  <xr:revisionPtr revIDLastSave="373" documentId="8_{E6DDE4EE-7C92-490B-8B6D-B3B4B1A561D5}" xr6:coauthVersionLast="47" xr6:coauthVersionMax="47" xr10:uidLastSave="{10318821-FA4E-4090-B68F-87F4DCF0C28C}"/>
  <bookViews>
    <workbookView minimized="1" xWindow="0" yWindow="1128" windowWidth="23040" windowHeight="11112" activeTab="1" xr2:uid="{7D942F26-4AAF-49DE-BC22-B682FFC7FA74}"/>
  </bookViews>
  <sheets>
    <sheet name="Sheet2" sheetId="3" r:id="rId1"/>
    <sheet name="Sheet4" sheetId="5" r:id="rId2"/>
    <sheet name="Sheet3" sheetId="4" r:id="rId3"/>
    <sheet name="employess_demographics" sheetId="2" r:id="rId4"/>
    <sheet name="Sheet1" sheetId="1" r:id="rId5"/>
  </sheets>
  <definedNames>
    <definedName name="ExternalData_1" localSheetId="3" hidden="1">employess_demographics!$A$1:$F$12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32EB2-7AC9-4578-9485-95EE359A575A}" keepAlive="1" name="Query - employess_demographics" description="Connection to the 'employess_demographics' query in the workbook." type="5" refreshedVersion="8" background="1" saveData="1">
    <dbPr connection="Provider=Microsoft.Mashup.OleDb.1;Data Source=$Workbook$;Location=employess_demographics;Extended Properties=&quot;&quot;" command="SELECT * FROM [employess_demographics]"/>
  </connection>
</connections>
</file>

<file path=xl/sharedStrings.xml><?xml version="1.0" encoding="utf-8"?>
<sst xmlns="http://schemas.openxmlformats.org/spreadsheetml/2006/main" count="64" uniqueCount="34">
  <si>
    <t>employee_id</t>
  </si>
  <si>
    <t>first_name</t>
  </si>
  <si>
    <t>last_name</t>
  </si>
  <si>
    <t>age</t>
  </si>
  <si>
    <t>gender</t>
  </si>
  <si>
    <t>birth_date</t>
  </si>
  <si>
    <t>Leslie</t>
  </si>
  <si>
    <t>Knope</t>
  </si>
  <si>
    <t>Female</t>
  </si>
  <si>
    <t>Tom</t>
  </si>
  <si>
    <t>Haverford</t>
  </si>
  <si>
    <t>Male</t>
  </si>
  <si>
    <t>April</t>
  </si>
  <si>
    <t>Ludgate</t>
  </si>
  <si>
    <t>Jerry</t>
  </si>
  <si>
    <t>Gergich</t>
  </si>
  <si>
    <t>Donna</t>
  </si>
  <si>
    <t>Meagle</t>
  </si>
  <si>
    <t>Ann</t>
  </si>
  <si>
    <t>Perkins</t>
  </si>
  <si>
    <t>Chris</t>
  </si>
  <si>
    <t>Traeger</t>
  </si>
  <si>
    <t>Ben</t>
  </si>
  <si>
    <t>Wyatt</t>
  </si>
  <si>
    <t>Andy</t>
  </si>
  <si>
    <t>Dwyer</t>
  </si>
  <si>
    <t>Mark</t>
  </si>
  <si>
    <t>Brendanawicz</t>
  </si>
  <si>
    <t>Craig</t>
  </si>
  <si>
    <t>Middlebrooks</t>
  </si>
  <si>
    <t>Row Labels</t>
  </si>
  <si>
    <t>Grand Total</t>
  </si>
  <si>
    <t>Average of age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</si>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</sst>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3" fontId="0" fillId="0" borderId="0" xfId="0" applyNumberFormat="1"/>
    <xf numFmtId="1" fontId="0" fillId="0" borderId="0" xfId="0" applyNumberFormat="1"/>
    <xf numFmtId="0" fontId="1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  <xf numFmtId="173" fontId="1" fillId="0" borderId="0" xfId="0" applyNumberFormat="1" applyFont="1" applyFill="1" applyBorder="1"/>
  </cellXfs>
  <cellStyles count="1">
    <cellStyle name="Normal" xfId="0" builtinId="0"/>
  </cellStyles>
  <dxfs count="7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" formatCode="0"/>
    </dxf>
    <dxf>
      <numFmt numFmtId="173" formatCode="0.0"/>
    </dxf>
    <dxf>
      <numFmt numFmtId="1" formatCode="0"/>
    </dxf>
    <dxf>
      <numFmt numFmtId="173" formatCode="0.0"/>
    </dxf>
    <dxf>
      <numFmt numFmtId="1" formatCode="0"/>
    </dxf>
    <dxf>
      <numFmt numFmtId="173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3" formatCode="0.0"/>
    </dxf>
    <dxf>
      <numFmt numFmtId="1" formatCode="0"/>
    </dxf>
    <dxf>
      <numFmt numFmtId="173" formatCode="0.0"/>
    </dxf>
    <dxf>
      <numFmt numFmtId="1" formatCode="0"/>
    </dxf>
    <dxf>
      <numFmt numFmtId="173" formatCode="0.0"/>
    </dxf>
    <dxf>
      <numFmt numFmtId="1" formatCode="0"/>
    </dxf>
    <dxf>
      <numFmt numFmtId="2" formatCode="0.00"/>
    </dxf>
    <dxf>
      <numFmt numFmtId="173" formatCode="0.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3" formatCode="0.0"/>
    </dxf>
    <dxf>
      <numFmt numFmtId="173" formatCode="0.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1.xlsx]Sheet2!PivotTable1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</a:t>
            </a:r>
            <a:r>
              <a:rPr lang="en-US" baseline="0"/>
              <a:t>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E-4183-8E93-39F5AB02D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Age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Sheet2!$A$14:$A$16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Sheet2!$B$14:$B$16</c:f>
              <c:numCache>
                <c:formatCode>0</c:formatCode>
                <c:ptCount val="2"/>
                <c:pt idx="0">
                  <c:v>38.5</c:v>
                </c:pt>
                <c:pt idx="1">
                  <c:v>41.285714285714285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0-409F-88B8-3B27DA31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97007"/>
        <c:axId val="390194607"/>
      </c:barChart>
      <c:catAx>
        <c:axId val="3901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94607"/>
        <c:crosses val="autoZero"/>
        <c:auto val="1"/>
        <c:lblAlgn val="ctr"/>
        <c:lblOffset val="100"/>
        <c:noMultiLvlLbl val="0"/>
      </c:catAx>
      <c:valAx>
        <c:axId val="3901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9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1.xlsx]Sheet2!PivotTable1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Employee Count by</a:t>
            </a:r>
            <a:r>
              <a:rPr lang="en-US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Gender</a:t>
            </a:r>
            <a:endPara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2F-4F05-A266-B591502FAA16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2F-4F05-A266-B591502FAA16}"/>
              </c:ext>
            </c:extLst>
          </c:dPt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F-4F05-A266-B591502FA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[Mini Project 1.xlsx]Sheet2!PivotTable5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Average Age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Sheet2!$A$14:$A$16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Sheet2!$B$14:$B$16</c:f>
              <c:numCache>
                <c:formatCode>0</c:formatCode>
                <c:ptCount val="2"/>
                <c:pt idx="0">
                  <c:v>38.5</c:v>
                </c:pt>
                <c:pt idx="1">
                  <c:v>41.285714285714285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1-483A-8A75-019F0363B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97007"/>
        <c:axId val="390194607"/>
      </c:barChart>
      <c:catAx>
        <c:axId val="3901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90194607"/>
        <c:crosses val="autoZero"/>
        <c:auto val="1"/>
        <c:lblAlgn val="ctr"/>
        <c:lblOffset val="100"/>
        <c:noMultiLvlLbl val="0"/>
      </c:catAx>
      <c:valAx>
        <c:axId val="3901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9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shade val="50000"/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1</xdr:row>
      <xdr:rowOff>179070</xdr:rowOff>
    </xdr:from>
    <xdr:to>
      <xdr:col>13</xdr:col>
      <xdr:colOff>358140</xdr:colOff>
      <xdr:row>17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F886C7-064A-1203-DD7E-323B4788F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179070</xdr:rowOff>
    </xdr:from>
    <xdr:to>
      <xdr:col>19</xdr:col>
      <xdr:colOff>0</xdr:colOff>
      <xdr:row>17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81A6A4-BE33-0405-919E-0A1A04251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10</xdr:col>
      <xdr:colOff>1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5725C3-1CE0-B9D9-2F05-9A70AB13B381}"/>
            </a:ext>
          </a:extLst>
        </xdr:cNvPr>
        <xdr:cNvSpPr txBox="1"/>
      </xdr:nvSpPr>
      <xdr:spPr>
        <a:xfrm>
          <a:off x="1" y="0"/>
          <a:ext cx="12792364" cy="11083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4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 Project 1: Employee Overview (Excel)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6</xdr:col>
      <xdr:colOff>0</xdr:colOff>
      <xdr:row>21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8FDA761-EB5F-4A2A-B4E9-ED057348A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08130F-4C99-4B27-81BB-2166D949B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6</xdr:col>
      <xdr:colOff>0</xdr:colOff>
      <xdr:row>34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0D3575F-7629-4858-7698-4351A98BAFB6}"/>
            </a:ext>
          </a:extLst>
        </xdr:cNvPr>
        <xdr:cNvSpPr txBox="1"/>
      </xdr:nvSpPr>
      <xdr:spPr>
        <a:xfrm>
          <a:off x="3879273" y="4064000"/>
          <a:ext cx="3879272" cy="2216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Gender Distribution</a:t>
          </a:r>
        </a:p>
        <a:p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Insight: 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HR dataset shows that the workforce consists of 7 male employees and 4 female employees.</a:t>
          </a:r>
        </a:p>
        <a:p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Business Interpretation: 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indicates  noticeable gender imbalance within the workforce.</a:t>
          </a:r>
        </a:p>
        <a:p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Recommendation: 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Review recruitment practices and consider targeted strategies to improve gender diversity in future hiring cycles.</a:t>
          </a:r>
        </a:p>
        <a:p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0</xdr:colOff>
      <xdr:row>22</xdr:row>
      <xdr:rowOff>1</xdr:rowOff>
    </xdr:from>
    <xdr:to>
      <xdr:col>10</xdr:col>
      <xdr:colOff>0</xdr:colOff>
      <xdr:row>34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44720E3-6A4A-4A70-9018-09D9CAA61342}"/>
            </a:ext>
          </a:extLst>
        </xdr:cNvPr>
        <xdr:cNvSpPr txBox="1"/>
      </xdr:nvSpPr>
      <xdr:spPr>
        <a:xfrm>
          <a:off x="9051636" y="4064001"/>
          <a:ext cx="3740728" cy="221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Age by Gender</a:t>
          </a:r>
        </a:p>
        <a:p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Insight: 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average age of female employees is  38.5 years, while the average age of male employees is 41.3 years.</a:t>
          </a:r>
        </a:p>
        <a:p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Business Interpretation: 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This suggests that male employees are slightly older on average than female employees in the workforce, which may affect talent planning. </a:t>
          </a:r>
        </a:p>
        <a:p>
          <a:endParaRPr lang="en-GB" sz="1100" baseline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Recommendation: </a:t>
          </a:r>
          <a:r>
            <a:rPr lang="en-GB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Introduce initiatives targeting younger talent (e.g., internships, graduate programs).</a:t>
          </a:r>
          <a:endParaRPr lang="en-GB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ra Egbri" refreshedDate="46003.885851620369" createdVersion="8" refreshedVersion="8" minRefreshableVersion="3" recordCount="11" xr:uid="{DD3EF6F8-7BF9-4134-BE8E-FADBD983801D}">
  <cacheSource type="worksheet">
    <worksheetSource name="employess_demographics"/>
  </cacheSource>
  <cacheFields count="6">
    <cacheField name="employee_id" numFmtId="0">
      <sharedItems containsSemiMixedTypes="0" containsString="0" containsNumber="1" containsInteger="1" minValue="1" maxValue="12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9" maxValue="61" count="11">
        <n v="44"/>
        <n v="36"/>
        <n v="29"/>
        <n v="61"/>
        <n v="46"/>
        <n v="35"/>
        <n v="43"/>
        <n v="38"/>
        <n v="34"/>
        <n v="40"/>
        <n v="37"/>
      </sharedItems>
    </cacheField>
    <cacheField name="gender" numFmtId="0">
      <sharedItems count="2">
        <s v="Female"/>
        <s v="Male"/>
      </sharedItems>
    </cacheField>
    <cacheField name="birth_date" numFmtId="14">
      <sharedItems containsSemiMixedTypes="0" containsNonDate="0" containsDate="1" containsString="0" minDate="1962-08-28T00:00:00" maxDate="1994-03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s v="Leslie"/>
    <s v="Knope"/>
    <x v="0"/>
    <x v="0"/>
    <d v="1979-09-25T00:00:00"/>
  </r>
  <r>
    <n v="3"/>
    <s v="Tom"/>
    <s v="Haverford"/>
    <x v="1"/>
    <x v="1"/>
    <d v="1987-03-04T00:00:00"/>
  </r>
  <r>
    <n v="4"/>
    <s v="April"/>
    <s v="Ludgate"/>
    <x v="2"/>
    <x v="0"/>
    <d v="1994-03-27T00:00:00"/>
  </r>
  <r>
    <n v="5"/>
    <s v="Jerry"/>
    <s v="Gergich"/>
    <x v="3"/>
    <x v="1"/>
    <d v="1962-08-28T00:00:00"/>
  </r>
  <r>
    <n v="6"/>
    <s v="Donna"/>
    <s v="Meagle"/>
    <x v="4"/>
    <x v="0"/>
    <d v="1977-07-30T00:00:00"/>
  </r>
  <r>
    <n v="7"/>
    <s v="Ann"/>
    <s v="Perkins"/>
    <x v="5"/>
    <x v="0"/>
    <d v="1988-12-01T00:00:00"/>
  </r>
  <r>
    <n v="8"/>
    <s v="Chris"/>
    <s v="Traeger"/>
    <x v="6"/>
    <x v="1"/>
    <d v="1980-11-11T00:00:00"/>
  </r>
  <r>
    <n v="9"/>
    <s v="Ben"/>
    <s v="Wyatt"/>
    <x v="7"/>
    <x v="1"/>
    <d v="1985-07-26T00:00:00"/>
  </r>
  <r>
    <n v="10"/>
    <s v="Andy"/>
    <s v="Dwyer"/>
    <x v="8"/>
    <x v="1"/>
    <d v="1989-03-25T00:00:00"/>
  </r>
  <r>
    <n v="11"/>
    <s v="Mark"/>
    <s v="Brendanawicz"/>
    <x v="9"/>
    <x v="1"/>
    <d v="1983-06-14T00:00:00"/>
  </r>
  <r>
    <n v="12"/>
    <s v="Craig"/>
    <s v="Middlebrooks"/>
    <x v="10"/>
    <x v="1"/>
    <d v="1986-07-2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8FCF9-2B69-4B5D-9B37-347D4B2AFCA4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3:B16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numFmtId="1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age" fld="3" subtotal="average" baseField="4" baseItem="1"/>
  </dataFields>
  <formats count="3">
    <format dxfId="48">
      <pivotArea collapsedLevelsAreSubtotals="1" fieldPosition="0">
        <references count="1">
          <reference field="4" count="1">
            <x v="0"/>
          </reference>
        </references>
      </pivotArea>
    </format>
    <format dxfId="46">
      <pivotArea collapsedLevelsAreSubtotals="1" fieldPosition="0">
        <references count="1">
          <reference field="4" count="1">
            <x v="1"/>
          </reference>
        </references>
      </pivotArea>
    </format>
    <format dxfId="44">
      <pivotArea grandRow="1" outline="0" collapsedLevelsAreSubtotals="1" fieldPosition="0"/>
    </format>
  </formats>
  <chartFormats count="2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14EDC-93D0-4732-AD58-6CE91DE08FE7}" name="PivotTable1" cacheId="8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6" firstHeaderRow="1" firstDataRow="1" firstDataCol="1"/>
  <pivotFields count="6">
    <pivotField dataField="1" showAll="0"/>
    <pivotField showAll="0"/>
    <pivotField showAll="0"/>
    <pivotField showAll="0">
      <items count="12">
        <item x="2"/>
        <item x="8"/>
        <item x="5"/>
        <item x="1"/>
        <item x="10"/>
        <item x="7"/>
        <item x="9"/>
        <item x="6"/>
        <item x="0"/>
        <item x="4"/>
        <item x="3"/>
        <item t="default"/>
      </items>
    </pivotField>
    <pivotField axis="axisRow" showAll="0">
      <items count="3">
        <item x="0"/>
        <item x="1"/>
        <item t="default"/>
      </items>
    </pivotField>
    <pivotField numFmtId="1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4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FBEB3-0BC3-4E11-91B7-F3A2D8EA12EE}" name="PivotTable1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:B18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numFmtId="1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age" fld="3" subtotal="average" baseField="4" baseItem="0"/>
  </dataFields>
  <formats count="15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33">
      <pivotArea collapsedLevelsAreSubtotals="1" fieldPosition="0">
        <references count="1">
          <reference field="4" count="1">
            <x v="0"/>
          </reference>
        </references>
      </pivotArea>
    </format>
    <format dxfId="31">
      <pivotArea collapsedLevelsAreSubtotals="1" fieldPosition="0">
        <references count="1">
          <reference field="4" count="1">
            <x v="1"/>
          </reference>
        </references>
      </pivotArea>
    </format>
    <format dxfId="29">
      <pivotArea grandRow="1" outline="0" collapsedLevelsAreSubtotals="1" fieldPosition="0"/>
    </format>
    <format dxfId="25">
      <pivotArea type="all" dataOnly="0" outline="0" fieldPosition="0"/>
    </format>
    <format dxfId="18">
      <pivotArea outline="0" collapsedLevelsAreSubtotals="1" fieldPosition="0"/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590B4-5C2F-4326-8FA7-6122FE04F94F}" name="PivotTable11" cacheId="8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9:B12" firstHeaderRow="1" firstDataRow="1" firstDataCol="1"/>
  <pivotFields count="6">
    <pivotField dataField="1" showAll="0"/>
    <pivotField showAll="0"/>
    <pivotField showAll="0"/>
    <pivotField showAll="0">
      <items count="12">
        <item x="2"/>
        <item x="8"/>
        <item x="5"/>
        <item x="1"/>
        <item x="10"/>
        <item x="7"/>
        <item x="9"/>
        <item x="6"/>
        <item x="0"/>
        <item x="4"/>
        <item x="3"/>
        <item t="default"/>
      </items>
    </pivotField>
    <pivotField axis="axisRow" showAll="0">
      <items count="3">
        <item x="0"/>
        <item x="1"/>
        <item t="default"/>
      </items>
    </pivotField>
    <pivotField numFmtId="1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4" baseItem="0"/>
  </dataFields>
  <formats count="12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4" type="button" dataOnly="0" labelOnly="1" outline="0" axis="axisRow" fieldPosition="0"/>
    </format>
    <format dxfId="61">
      <pivotArea dataOnly="0" labelOnly="1" fieldPosition="0">
        <references count="1">
          <reference field="4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5534F-A8DF-47C5-9C04-8435EA4DF9D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numFmtId="1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age" fld="3" subtotal="average" baseField="4" baseItem="0"/>
  </dataFields>
  <formats count="2">
    <format dxfId="66">
      <pivotArea collapsedLevelsAreSubtotals="1" fieldPosition="0">
        <references count="1">
          <reference field="4" count="1">
            <x v="1"/>
          </reference>
        </references>
      </pivotArea>
    </format>
    <format dxfId="6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F28CF6-ECA1-4F2D-9E7C-CD47C31CBC55}" autoFormatId="16" applyNumberFormats="0" applyBorderFormats="0" applyFontFormats="0" applyPatternFormats="0" applyAlignmentFormats="0" applyWidthHeightFormats="0">
  <queryTableRefresh nextId="7">
    <queryTableFields count="6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birth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8D9DE-09BE-44E2-8836-D40CBE207E71}" name="employess_demographics" displayName="employess_demographics" ref="A1:F12" tableType="queryTable" totalsRowShown="0">
  <autoFilter ref="A1:F12" xr:uid="{AA18D9DE-09BE-44E2-8836-D40CBE207E71}"/>
  <tableColumns count="6">
    <tableColumn id="1" xr3:uid="{09A96C9B-743A-4929-99E2-B16D7D4F098B}" uniqueName="1" name="employee_id" queryTableFieldId="1"/>
    <tableColumn id="2" xr3:uid="{33A9F912-35E6-4128-AAE8-ACA6671543CA}" uniqueName="2" name="first_name" queryTableFieldId="2" dataDxfId="70"/>
    <tableColumn id="3" xr3:uid="{862FFB19-4AD3-434D-8DDC-BC30E43CF269}" uniqueName="3" name="last_name" queryTableFieldId="3" dataDxfId="69"/>
    <tableColumn id="4" xr3:uid="{E54BEB5E-FAAC-40CD-B6AA-4F23D0E70ECA}" uniqueName="4" name="age" queryTableFieldId="4"/>
    <tableColumn id="5" xr3:uid="{890D3773-4ED7-436C-8F94-08B15C1A6AF9}" uniqueName="5" name="gender" queryTableFieldId="5" dataDxfId="68"/>
    <tableColumn id="6" xr3:uid="{746AB014-B584-40F1-9408-F0DC6F62528C}" uniqueName="6" name="birth_date" queryTableFieldId="6" dataDxfId="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091D-B645-4EE5-B5A4-18CF99B72F0A}">
  <dimension ref="A3:B16"/>
  <sheetViews>
    <sheetView workbookViewId="0">
      <selection activeCell="A13" sqref="A13:B16"/>
    </sheetView>
  </sheetViews>
  <sheetFormatPr defaultRowHeight="14.4" x14ac:dyDescent="0.3"/>
  <cols>
    <col min="1" max="1" width="12.44140625" bestFit="1" customWidth="1"/>
    <col min="2" max="3" width="12.6640625" bestFit="1" customWidth="1"/>
    <col min="4" max="4" width="10.5546875" bestFit="1" customWidth="1"/>
    <col min="5" max="12" width="3" bestFit="1" customWidth="1"/>
    <col min="13" max="13" width="10.5546875" bestFit="1" customWidth="1"/>
  </cols>
  <sheetData>
    <row r="3" spans="1:2" x14ac:dyDescent="0.3">
      <c r="A3" s="3" t="s">
        <v>30</v>
      </c>
      <c r="B3" t="s">
        <v>33</v>
      </c>
    </row>
    <row r="4" spans="1:2" x14ac:dyDescent="0.3">
      <c r="A4" s="4" t="s">
        <v>8</v>
      </c>
      <c r="B4" s="1">
        <v>4</v>
      </c>
    </row>
    <row r="5" spans="1:2" x14ac:dyDescent="0.3">
      <c r="A5" s="4" t="s">
        <v>11</v>
      </c>
      <c r="B5" s="1">
        <v>7</v>
      </c>
    </row>
    <row r="6" spans="1:2" x14ac:dyDescent="0.3">
      <c r="A6" s="4" t="s">
        <v>31</v>
      </c>
      <c r="B6" s="1">
        <v>11</v>
      </c>
    </row>
    <row r="13" spans="1:2" x14ac:dyDescent="0.3">
      <c r="A13" s="3" t="s">
        <v>30</v>
      </c>
      <c r="B13" t="s">
        <v>32</v>
      </c>
    </row>
    <row r="14" spans="1:2" x14ac:dyDescent="0.3">
      <c r="A14" s="4" t="s">
        <v>8</v>
      </c>
      <c r="B14" s="6">
        <v>38.5</v>
      </c>
    </row>
    <row r="15" spans="1:2" x14ac:dyDescent="0.3">
      <c r="A15" s="4" t="s">
        <v>11</v>
      </c>
      <c r="B15" s="6">
        <v>41.285714285714285</v>
      </c>
    </row>
    <row r="16" spans="1:2" x14ac:dyDescent="0.3">
      <c r="A16" s="4" t="s">
        <v>31</v>
      </c>
      <c r="B16" s="6">
        <v>40.272727272727273</v>
      </c>
    </row>
  </sheetData>
  <pageMargins left="0.7" right="0.7" top="0.75" bottom="0.75" header="0.3" footer="0.3"/>
  <pageSetup paperSize="9" orientation="portrait" horizontalDpi="200" verticalDpi="2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9CA0-5F49-463F-A42C-5E61E6098F2C}">
  <dimension ref="A9:B18"/>
  <sheetViews>
    <sheetView showGridLines="0" tabSelected="1" zoomScale="60" zoomScaleNormal="60" workbookViewId="0">
      <selection activeCell="G23" sqref="G23"/>
    </sheetView>
  </sheetViews>
  <sheetFormatPr defaultRowHeight="14.4" x14ac:dyDescent="0.3"/>
  <cols>
    <col min="1" max="9" width="18.77734375" style="8" customWidth="1"/>
    <col min="10" max="16" width="16.77734375" style="8" customWidth="1"/>
    <col min="17" max="16384" width="8.88671875" style="8"/>
  </cols>
  <sheetData>
    <row r="9" spans="1:2" s="8" customFormat="1" x14ac:dyDescent="0.3">
      <c r="A9" s="7" t="s">
        <v>30</v>
      </c>
      <c r="B9" s="7" t="s">
        <v>33</v>
      </c>
    </row>
    <row r="10" spans="1:2" s="8" customFormat="1" x14ac:dyDescent="0.3">
      <c r="A10" s="9" t="s">
        <v>8</v>
      </c>
      <c r="B10" s="10">
        <v>4</v>
      </c>
    </row>
    <row r="11" spans="1:2" s="8" customFormat="1" x14ac:dyDescent="0.3">
      <c r="A11" s="9" t="s">
        <v>11</v>
      </c>
      <c r="B11" s="10">
        <v>7</v>
      </c>
    </row>
    <row r="12" spans="1:2" s="8" customFormat="1" x14ac:dyDescent="0.3">
      <c r="A12" s="9" t="s">
        <v>31</v>
      </c>
      <c r="B12" s="10">
        <v>11</v>
      </c>
    </row>
    <row r="15" spans="1:2" s="8" customFormat="1" x14ac:dyDescent="0.3">
      <c r="A15" s="7" t="s">
        <v>30</v>
      </c>
      <c r="B15" s="7" t="s">
        <v>32</v>
      </c>
    </row>
    <row r="16" spans="1:2" s="8" customFormat="1" x14ac:dyDescent="0.3">
      <c r="A16" s="9" t="s">
        <v>8</v>
      </c>
      <c r="B16" s="11">
        <v>38.5</v>
      </c>
    </row>
    <row r="17" spans="1:2" s="8" customFormat="1" x14ac:dyDescent="0.3">
      <c r="A17" s="9" t="s">
        <v>11</v>
      </c>
      <c r="B17" s="11">
        <v>41.285714285714285</v>
      </c>
    </row>
    <row r="18" spans="1:2" s="8" customFormat="1" x14ac:dyDescent="0.3">
      <c r="A18" s="9" t="s">
        <v>31</v>
      </c>
      <c r="B18" s="11">
        <v>40.272727272727273</v>
      </c>
    </row>
  </sheetData>
  <pageMargins left="0.7" right="0.7" top="0.75" bottom="0.75" header="0.3" footer="0.3"/>
  <pageSetup paperSize="9" orientation="portrait" horizontalDpi="200" verticalDpi="2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80B0-17BB-4D7D-800B-2F6AAB6FF1CE}">
  <dimension ref="A3:B6"/>
  <sheetViews>
    <sheetView workbookViewId="0">
      <selection activeCell="A3" sqref="A3:B6"/>
    </sheetView>
  </sheetViews>
  <sheetFormatPr defaultRowHeight="14.4" x14ac:dyDescent="0.3"/>
  <cols>
    <col min="1" max="1" width="12.44140625" bestFit="1" customWidth="1"/>
    <col min="2" max="2" width="13.6640625" bestFit="1" customWidth="1"/>
    <col min="3" max="3" width="9.88671875" bestFit="1" customWidth="1"/>
  </cols>
  <sheetData>
    <row r="3" spans="1:2" x14ac:dyDescent="0.3">
      <c r="A3" s="3" t="s">
        <v>30</v>
      </c>
      <c r="B3" t="s">
        <v>32</v>
      </c>
    </row>
    <row r="4" spans="1:2" x14ac:dyDescent="0.3">
      <c r="A4" s="4" t="s">
        <v>8</v>
      </c>
      <c r="B4" s="1">
        <v>38.5</v>
      </c>
    </row>
    <row r="5" spans="1:2" x14ac:dyDescent="0.3">
      <c r="A5" s="4" t="s">
        <v>11</v>
      </c>
      <c r="B5" s="5">
        <v>41.285714285714285</v>
      </c>
    </row>
    <row r="6" spans="1:2" x14ac:dyDescent="0.3">
      <c r="A6" s="4" t="s">
        <v>31</v>
      </c>
      <c r="B6" s="5">
        <v>40.272727272727273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7B54-D9FA-4AFF-8A43-CA503E144320}">
  <dimension ref="A1:F12"/>
  <sheetViews>
    <sheetView workbookViewId="0"/>
  </sheetViews>
  <sheetFormatPr defaultRowHeight="14.4" x14ac:dyDescent="0.3"/>
  <cols>
    <col min="1" max="1" width="13.88671875" bestFit="1" customWidth="1"/>
    <col min="2" max="2" width="12" bestFit="1" customWidth="1"/>
    <col min="3" max="3" width="12.33203125" bestFit="1" customWidth="1"/>
    <col min="4" max="4" width="6.1093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>
        <v>44</v>
      </c>
      <c r="E2" s="1" t="s">
        <v>8</v>
      </c>
      <c r="F2" s="2">
        <v>29123</v>
      </c>
    </row>
    <row r="3" spans="1:6" x14ac:dyDescent="0.3">
      <c r="A3">
        <v>3</v>
      </c>
      <c r="B3" s="1" t="s">
        <v>9</v>
      </c>
      <c r="C3" s="1" t="s">
        <v>10</v>
      </c>
      <c r="D3">
        <v>36</v>
      </c>
      <c r="E3" s="1" t="s">
        <v>11</v>
      </c>
      <c r="F3" s="2">
        <v>31840</v>
      </c>
    </row>
    <row r="4" spans="1:6" x14ac:dyDescent="0.3">
      <c r="A4">
        <v>4</v>
      </c>
      <c r="B4" s="1" t="s">
        <v>12</v>
      </c>
      <c r="C4" s="1" t="s">
        <v>13</v>
      </c>
      <c r="D4">
        <v>29</v>
      </c>
      <c r="E4" s="1" t="s">
        <v>8</v>
      </c>
      <c r="F4" s="2">
        <v>34420</v>
      </c>
    </row>
    <row r="5" spans="1:6" x14ac:dyDescent="0.3">
      <c r="A5">
        <v>5</v>
      </c>
      <c r="B5" s="1" t="s">
        <v>14</v>
      </c>
      <c r="C5" s="1" t="s">
        <v>15</v>
      </c>
      <c r="D5">
        <v>61</v>
      </c>
      <c r="E5" s="1" t="s">
        <v>11</v>
      </c>
      <c r="F5" s="2">
        <v>22886</v>
      </c>
    </row>
    <row r="6" spans="1:6" x14ac:dyDescent="0.3">
      <c r="A6">
        <v>6</v>
      </c>
      <c r="B6" s="1" t="s">
        <v>16</v>
      </c>
      <c r="C6" s="1" t="s">
        <v>17</v>
      </c>
      <c r="D6">
        <v>46</v>
      </c>
      <c r="E6" s="1" t="s">
        <v>8</v>
      </c>
      <c r="F6" s="2">
        <v>28336</v>
      </c>
    </row>
    <row r="7" spans="1:6" x14ac:dyDescent="0.3">
      <c r="A7">
        <v>7</v>
      </c>
      <c r="B7" s="1" t="s">
        <v>18</v>
      </c>
      <c r="C7" s="1" t="s">
        <v>19</v>
      </c>
      <c r="D7">
        <v>35</v>
      </c>
      <c r="E7" s="1" t="s">
        <v>8</v>
      </c>
      <c r="F7" s="2">
        <v>32478</v>
      </c>
    </row>
    <row r="8" spans="1:6" x14ac:dyDescent="0.3">
      <c r="A8">
        <v>8</v>
      </c>
      <c r="B8" s="1" t="s">
        <v>20</v>
      </c>
      <c r="C8" s="1" t="s">
        <v>21</v>
      </c>
      <c r="D8">
        <v>43</v>
      </c>
      <c r="E8" s="1" t="s">
        <v>11</v>
      </c>
      <c r="F8" s="2">
        <v>29536</v>
      </c>
    </row>
    <row r="9" spans="1:6" x14ac:dyDescent="0.3">
      <c r="A9">
        <v>9</v>
      </c>
      <c r="B9" s="1" t="s">
        <v>22</v>
      </c>
      <c r="C9" s="1" t="s">
        <v>23</v>
      </c>
      <c r="D9">
        <v>38</v>
      </c>
      <c r="E9" s="1" t="s">
        <v>11</v>
      </c>
      <c r="F9" s="2">
        <v>31254</v>
      </c>
    </row>
    <row r="10" spans="1:6" x14ac:dyDescent="0.3">
      <c r="A10">
        <v>10</v>
      </c>
      <c r="B10" s="1" t="s">
        <v>24</v>
      </c>
      <c r="C10" s="1" t="s">
        <v>25</v>
      </c>
      <c r="D10">
        <v>34</v>
      </c>
      <c r="E10" s="1" t="s">
        <v>11</v>
      </c>
      <c r="F10" s="2">
        <v>32592</v>
      </c>
    </row>
    <row r="11" spans="1:6" x14ac:dyDescent="0.3">
      <c r="A11">
        <v>11</v>
      </c>
      <c r="B11" s="1" t="s">
        <v>26</v>
      </c>
      <c r="C11" s="1" t="s">
        <v>27</v>
      </c>
      <c r="D11">
        <v>40</v>
      </c>
      <c r="E11" s="1" t="s">
        <v>11</v>
      </c>
      <c r="F11" s="2">
        <v>30481</v>
      </c>
    </row>
    <row r="12" spans="1:6" x14ac:dyDescent="0.3">
      <c r="A12">
        <v>12</v>
      </c>
      <c r="B12" s="1" t="s">
        <v>28</v>
      </c>
      <c r="C12" s="1" t="s">
        <v>29</v>
      </c>
      <c r="D12">
        <v>37</v>
      </c>
      <c r="E12" s="1" t="s">
        <v>11</v>
      </c>
      <c r="F12" s="2">
        <v>31620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0B1B-A9CD-4134-A109-4C713F9935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FCFE7-3E80-4440-9F11-C3DF4373E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Sheet3</vt:lpstr>
      <vt:lpstr>employess_demographics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Tyra Egbri</dc:creator>
  <cp:lastModifiedBy>Tyra Egbri</cp:lastModifiedBy>
  <cp:lastPrinted>2025-12-12T22:35:20Z</cp:lastPrinted>
  <dcterms:created xsi:type="dcterms:W3CDTF">2025-12-12T21:05:03Z</dcterms:created>
  <dcterms:modified xsi:type="dcterms:W3CDTF">2025-12-12T23:23:47Z</dcterms:modified>
</cp:coreProperties>
</file>